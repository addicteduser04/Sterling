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192.168.1.106\home\COMMUN\TAUX\20250910\excel\"/>
    </mc:Choice>
  </mc:AlternateContent>
  <xr:revisionPtr revIDLastSave="0" documentId="13_ncr:1_{26F568BB-C719-47AE-B28E-BCFE69FA7FA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hart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1" l="1"/>
  <c r="H6" i="1"/>
  <c r="H7" i="1"/>
  <c r="H8" i="1"/>
  <c r="H9" i="1"/>
  <c r="H10" i="1"/>
  <c r="H11" i="1"/>
  <c r="H12" i="1"/>
  <c r="H4" i="1"/>
</calcChain>
</file>

<file path=xl/sharedStrings.xml><?xml version="1.0" encoding="utf-8"?>
<sst xmlns="http://schemas.openxmlformats.org/spreadsheetml/2006/main" count="34" uniqueCount="25">
  <si>
    <t>Tenor</t>
  </si>
  <si>
    <t>Date de la valeur</t>
  </si>
  <si>
    <t>13 semaines</t>
  </si>
  <si>
    <t>26 semaines</t>
  </si>
  <si>
    <t>52 semaines</t>
  </si>
  <si>
    <t>2 ans</t>
  </si>
  <si>
    <t>3 ans</t>
  </si>
  <si>
    <t>4 ans</t>
  </si>
  <si>
    <t>5 ans</t>
  </si>
  <si>
    <t>6 ans</t>
  </si>
  <si>
    <t>7 ans</t>
  </si>
  <si>
    <t>8 ans</t>
  </si>
  <si>
    <t>9 ans</t>
  </si>
  <si>
    <t>10 ans</t>
  </si>
  <si>
    <t>11 ans</t>
  </si>
  <si>
    <t>12 ans</t>
  </si>
  <si>
    <t>13 ans</t>
  </si>
  <si>
    <t>14 ans</t>
  </si>
  <si>
    <t>15 ans</t>
  </si>
  <si>
    <t>16 ans</t>
  </si>
  <si>
    <t>17 ans</t>
  </si>
  <si>
    <t>18 ans</t>
  </si>
  <si>
    <t>19 ans</t>
  </si>
  <si>
    <t>20 ans</t>
  </si>
  <si>
    <t>30 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</si>
</sst>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10" fontId="0" fillId="0" borderId="0" xfId="1" applyNumberFormat="1" applyFont="1"/>
  </cellXfs>
  <cellStyles count="2">
    <cellStyle name="Normal" xfId="0" builtinId="0"/>
    <cellStyle name="Pourcentag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fr-MA"/>
              <a:t>Courbe des taux souverains | Marché secondaire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ChartData!$B$1</c:f>
              <c:strCache>
                <c:ptCount val="1"/>
                <c:pt idx="0">
                  <c:v>Date de la valeur</c:v>
                </c:pt>
              </c:strCache>
            </c:strRef>
          </c:tx>
          <c:spPr>
            <a:ln w="19050">
              <a:prstDash val="solid"/>
            </a:ln>
          </c:spPr>
          <c:marker>
            <c:symbol val="circle"/>
            <c:size val="6"/>
            <c:spPr>
              <a:ln>
                <a:prstDash val="solid"/>
              </a:ln>
            </c:spPr>
          </c:marker>
          <c:cat>
            <c:strRef>
              <c:f>ChartData!$A$2:$A$24</c:f>
              <c:strCache>
                <c:ptCount val="23"/>
                <c:pt idx="0">
                  <c:v>13 semaines</c:v>
                </c:pt>
                <c:pt idx="1">
                  <c:v>26 semaines</c:v>
                </c:pt>
                <c:pt idx="2">
                  <c:v>52 semaines</c:v>
                </c:pt>
                <c:pt idx="3">
                  <c:v>2 ans</c:v>
                </c:pt>
                <c:pt idx="4">
                  <c:v>3 ans</c:v>
                </c:pt>
                <c:pt idx="5">
                  <c:v>4 ans</c:v>
                </c:pt>
                <c:pt idx="6">
                  <c:v>5 ans</c:v>
                </c:pt>
                <c:pt idx="7">
                  <c:v>6 ans</c:v>
                </c:pt>
                <c:pt idx="8">
                  <c:v>7 ans</c:v>
                </c:pt>
                <c:pt idx="9">
                  <c:v>8 ans</c:v>
                </c:pt>
                <c:pt idx="10">
                  <c:v>9 ans</c:v>
                </c:pt>
                <c:pt idx="11">
                  <c:v>10 ans</c:v>
                </c:pt>
                <c:pt idx="12">
                  <c:v>11 ans</c:v>
                </c:pt>
                <c:pt idx="13">
                  <c:v>12 ans</c:v>
                </c:pt>
                <c:pt idx="14">
                  <c:v>13 ans</c:v>
                </c:pt>
                <c:pt idx="15">
                  <c:v>14 ans</c:v>
                </c:pt>
                <c:pt idx="16">
                  <c:v>15 ans</c:v>
                </c:pt>
                <c:pt idx="17">
                  <c:v>16 ans</c:v>
                </c:pt>
                <c:pt idx="18">
                  <c:v>17 ans</c:v>
                </c:pt>
                <c:pt idx="19">
                  <c:v>18 ans</c:v>
                </c:pt>
                <c:pt idx="20">
                  <c:v>19 ans</c:v>
                </c:pt>
                <c:pt idx="21">
                  <c:v>20 ans</c:v>
                </c:pt>
                <c:pt idx="22">
                  <c:v>30 ans</c:v>
                </c:pt>
              </c:strCache>
            </c:strRef>
          </c:cat>
          <c:val>
            <c:numRef>
              <c:f>ChartData!$B$2:$B$24</c:f>
              <c:numCache>
                <c:formatCode>General</c:formatCode>
                <c:ptCount val="23"/>
                <c:pt idx="0">
                  <c:v>2.133690476190476</c:v>
                </c:pt>
                <c:pt idx="1">
                  <c:v>2.195178571428571</c:v>
                </c:pt>
                <c:pt idx="2">
                  <c:v>2.21956043956044</c:v>
                </c:pt>
                <c:pt idx="3">
                  <c:v>2.2622360248447211</c:v>
                </c:pt>
                <c:pt idx="4">
                  <c:v>2.3075776397515528</c:v>
                </c:pt>
                <c:pt idx="5">
                  <c:v>2.352919254658385</c:v>
                </c:pt>
                <c:pt idx="6">
                  <c:v>2.4082692307692311</c:v>
                </c:pt>
                <c:pt idx="7">
                  <c:v>2.4761861074705109</c:v>
                </c:pt>
                <c:pt idx="8">
                  <c:v>2.540766710353866</c:v>
                </c:pt>
                <c:pt idx="9">
                  <c:v>2.605347313237222</c:v>
                </c:pt>
                <c:pt idx="10">
                  <c:v>2.6699279161205771</c:v>
                </c:pt>
                <c:pt idx="11">
                  <c:v>2.735029649595687</c:v>
                </c:pt>
                <c:pt idx="12">
                  <c:v>2.801929919137466</c:v>
                </c:pt>
                <c:pt idx="13">
                  <c:v>2.868830188679246</c:v>
                </c:pt>
                <c:pt idx="14">
                  <c:v>2.9357304582210242</c:v>
                </c:pt>
                <c:pt idx="15">
                  <c:v>3.0026307277628028</c:v>
                </c:pt>
                <c:pt idx="16">
                  <c:v>3.0664474393530998</c:v>
                </c:pt>
                <c:pt idx="17">
                  <c:v>3.1117035040431271</c:v>
                </c:pt>
                <c:pt idx="18">
                  <c:v>3.156959568733154</c:v>
                </c:pt>
                <c:pt idx="19">
                  <c:v>3.2022156334231808</c:v>
                </c:pt>
                <c:pt idx="20">
                  <c:v>3.2474716981132081</c:v>
                </c:pt>
                <c:pt idx="21">
                  <c:v>3.292738330975955</c:v>
                </c:pt>
                <c:pt idx="22">
                  <c:v>3.73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640-4042-91F7-85F301405A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 lang="fr-MA"/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fr-MA"/>
                  <a:t>Taux (%)</a:t>
                </a:r>
              </a:p>
            </c:rich>
          </c:tx>
          <c:overlay val="1"/>
        </c:title>
        <c:numFmt formatCode="0.0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590550</xdr:colOff>
      <xdr:row>1</xdr:row>
      <xdr:rowOff>161925</xdr:rowOff>
    </xdr:from>
    <xdr:ext cx="10080000" cy="54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tabSelected="1" workbookViewId="0">
      <selection activeCell="H23" sqref="H23"/>
    </sheetView>
  </sheetViews>
  <sheetFormatPr baseColWidth="10" defaultColWidth="9.140625"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</v>
      </c>
      <c r="B2">
        <v>2.133690476190476</v>
      </c>
    </row>
    <row r="3" spans="1:8" x14ac:dyDescent="0.25">
      <c r="A3" t="s">
        <v>3</v>
      </c>
      <c r="B3">
        <v>2.195178571428571</v>
      </c>
    </row>
    <row r="4" spans="1:8" x14ac:dyDescent="0.25">
      <c r="A4" t="s">
        <v>4</v>
      </c>
      <c r="B4">
        <v>2.21956043956044</v>
      </c>
      <c r="F4" t="s">
        <v>2</v>
      </c>
      <c r="G4">
        <v>2.133690476190476</v>
      </c>
      <c r="H4" s="1">
        <f>+G4/100</f>
        <v>2.1336904761904762E-2</v>
      </c>
    </row>
    <row r="5" spans="1:8" x14ac:dyDescent="0.25">
      <c r="A5" t="s">
        <v>5</v>
      </c>
      <c r="B5">
        <v>2.2622360248447211</v>
      </c>
      <c r="F5" t="s">
        <v>3</v>
      </c>
      <c r="G5">
        <v>2.195178571428571</v>
      </c>
      <c r="H5" s="1">
        <f t="shared" ref="H5:H12" si="0">+G5/100</f>
        <v>2.1951785714285708E-2</v>
      </c>
    </row>
    <row r="6" spans="1:8" x14ac:dyDescent="0.25">
      <c r="A6" t="s">
        <v>6</v>
      </c>
      <c r="B6">
        <v>2.3075776397515528</v>
      </c>
      <c r="F6" t="s">
        <v>4</v>
      </c>
      <c r="G6">
        <v>2.21956043956044</v>
      </c>
      <c r="H6" s="1">
        <f t="shared" si="0"/>
        <v>2.2195604395604401E-2</v>
      </c>
    </row>
    <row r="7" spans="1:8" x14ac:dyDescent="0.25">
      <c r="A7" t="s">
        <v>7</v>
      </c>
      <c r="B7">
        <v>2.352919254658385</v>
      </c>
      <c r="F7" t="s">
        <v>5</v>
      </c>
      <c r="G7">
        <v>2.2622360248447211</v>
      </c>
      <c r="H7" s="1">
        <f t="shared" si="0"/>
        <v>2.2622360248447212E-2</v>
      </c>
    </row>
    <row r="8" spans="1:8" x14ac:dyDescent="0.25">
      <c r="A8" t="s">
        <v>8</v>
      </c>
      <c r="B8">
        <v>2.4082692307692311</v>
      </c>
      <c r="F8" t="s">
        <v>8</v>
      </c>
      <c r="G8">
        <v>2.4082692307692311</v>
      </c>
      <c r="H8" s="1">
        <f t="shared" si="0"/>
        <v>2.4082692307692312E-2</v>
      </c>
    </row>
    <row r="9" spans="1:8" x14ac:dyDescent="0.25">
      <c r="A9" t="s">
        <v>9</v>
      </c>
      <c r="B9">
        <v>2.4761861074705109</v>
      </c>
      <c r="F9" t="s">
        <v>13</v>
      </c>
      <c r="G9">
        <v>2.735029649595687</v>
      </c>
      <c r="H9" s="1">
        <f t="shared" si="0"/>
        <v>2.7350296495956869E-2</v>
      </c>
    </row>
    <row r="10" spans="1:8" x14ac:dyDescent="0.25">
      <c r="A10" t="s">
        <v>10</v>
      </c>
      <c r="B10">
        <v>2.540766710353866</v>
      </c>
      <c r="F10" t="s">
        <v>18</v>
      </c>
      <c r="G10">
        <v>3.0664474393530998</v>
      </c>
      <c r="H10" s="1">
        <f t="shared" si="0"/>
        <v>3.0664474393530997E-2</v>
      </c>
    </row>
    <row r="11" spans="1:8" x14ac:dyDescent="0.25">
      <c r="A11" t="s">
        <v>11</v>
      </c>
      <c r="B11">
        <v>2.605347313237222</v>
      </c>
      <c r="F11" t="s">
        <v>23</v>
      </c>
      <c r="G11">
        <v>3.292738330975955</v>
      </c>
      <c r="H11" s="1">
        <f t="shared" si="0"/>
        <v>3.2927383309759549E-2</v>
      </c>
    </row>
    <row r="12" spans="1:8" x14ac:dyDescent="0.25">
      <c r="A12" t="s">
        <v>12</v>
      </c>
      <c r="B12">
        <v>2.6699279161205771</v>
      </c>
      <c r="F12" t="s">
        <v>24</v>
      </c>
      <c r="G12">
        <v>3.73</v>
      </c>
      <c r="H12" s="1">
        <f t="shared" si="0"/>
        <v>3.73E-2</v>
      </c>
    </row>
    <row r="13" spans="1:8" x14ac:dyDescent="0.25">
      <c r="A13" t="s">
        <v>13</v>
      </c>
      <c r="B13">
        <v>2.735029649595687</v>
      </c>
    </row>
    <row r="14" spans="1:8" x14ac:dyDescent="0.25">
      <c r="A14" t="s">
        <v>14</v>
      </c>
      <c r="B14">
        <v>2.801929919137466</v>
      </c>
    </row>
    <row r="15" spans="1:8" x14ac:dyDescent="0.25">
      <c r="A15" t="s">
        <v>15</v>
      </c>
      <c r="B15">
        <v>2.868830188679246</v>
      </c>
    </row>
    <row r="16" spans="1:8" x14ac:dyDescent="0.25">
      <c r="A16" t="s">
        <v>16</v>
      </c>
      <c r="B16">
        <v>2.9357304582210242</v>
      </c>
    </row>
    <row r="17" spans="1:2" x14ac:dyDescent="0.25">
      <c r="A17" t="s">
        <v>17</v>
      </c>
      <c r="B17">
        <v>3.0026307277628028</v>
      </c>
    </row>
    <row r="18" spans="1:2" x14ac:dyDescent="0.25">
      <c r="A18" t="s">
        <v>18</v>
      </c>
      <c r="B18">
        <v>3.0664474393530998</v>
      </c>
    </row>
    <row r="19" spans="1:2" x14ac:dyDescent="0.25">
      <c r="A19" t="s">
        <v>19</v>
      </c>
      <c r="B19">
        <v>3.1117035040431271</v>
      </c>
    </row>
    <row r="20" spans="1:2" x14ac:dyDescent="0.25">
      <c r="A20" t="s">
        <v>20</v>
      </c>
      <c r="B20">
        <v>3.156959568733154</v>
      </c>
    </row>
    <row r="21" spans="1:2" x14ac:dyDescent="0.25">
      <c r="A21" t="s">
        <v>21</v>
      </c>
      <c r="B21">
        <v>3.2022156334231808</v>
      </c>
    </row>
    <row r="22" spans="1:2" x14ac:dyDescent="0.25">
      <c r="A22" t="s">
        <v>22</v>
      </c>
      <c r="B22">
        <v>3.2474716981132081</v>
      </c>
    </row>
    <row r="23" spans="1:2" x14ac:dyDescent="0.25">
      <c r="A23" t="s">
        <v>23</v>
      </c>
      <c r="B23">
        <v>3.292738330975955</v>
      </c>
    </row>
    <row r="24" spans="1:2" x14ac:dyDescent="0.25">
      <c r="A24" t="s">
        <v>24</v>
      </c>
      <c r="B24">
        <v>3.73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ChartData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Sterling Asset Management</cp:lastModifiedBy>
  <dcterms:created xsi:type="dcterms:W3CDTF">2025-09-10T14:52:25Z</dcterms:created>
  <dcterms:modified xsi:type="dcterms:W3CDTF">2025-09-15T10:02:35Z</dcterms:modified>
</cp:coreProperties>
</file>